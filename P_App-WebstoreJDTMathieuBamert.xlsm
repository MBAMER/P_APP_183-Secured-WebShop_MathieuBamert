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23aha\Documents\GitHub\P_APP_183-Secured-WebShop_MathieuBamert\"/>
    </mc:Choice>
  </mc:AlternateContent>
  <xr:revisionPtr revIDLastSave="0" documentId="13_ncr:1_{0FD15C96-3552-497E-93F8-C6886E9788C7}"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Planning" sheetId="156" r:id="rId6"/>
    <sheet name="JNLTRAV" sheetId="155"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4">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1" i="156" l="1"/>
  <c r="B97" i="156"/>
  <c r="B83" i="156"/>
  <c r="B69" i="156"/>
  <c r="B55" i="156"/>
  <c r="B41" i="156"/>
  <c r="B27" i="156"/>
  <c r="B13" i="156"/>
  <c r="D1" i="155"/>
  <c r="D20" i="155" s="1"/>
  <c r="D39" i="155" s="1"/>
  <c r="D58" i="155" s="1"/>
  <c r="D77" i="155" s="1"/>
  <c r="D96" i="155" s="1"/>
  <c r="D115" i="155" s="1"/>
  <c r="D134" i="155" s="1"/>
  <c r="B151" i="155"/>
  <c r="B132" i="155"/>
  <c r="B113" i="155"/>
  <c r="B94" i="155"/>
  <c r="B75" i="155"/>
  <c r="B56" i="155"/>
  <c r="B37" i="155"/>
  <c r="B18" i="155"/>
  <c r="B18" i="154"/>
  <c r="B13" i="11" l="1"/>
</calcChain>
</file>

<file path=xl/sharedStrings.xml><?xml version="1.0" encoding="utf-8"?>
<sst xmlns="http://schemas.openxmlformats.org/spreadsheetml/2006/main" count="197" uniqueCount="53">
  <si>
    <t>Module :</t>
  </si>
  <si>
    <t>Classe :</t>
  </si>
  <si>
    <t>Lieu :</t>
  </si>
  <si>
    <t>Tâche</t>
  </si>
  <si>
    <t>Prénom - nom :</t>
  </si>
  <si>
    <t>Tâches - objectifs</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</si>
  <si>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</si>
  <si>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</si>
  <si>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</si>
  <si>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</si>
  <si>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</si>
  <si>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</si>
  <si>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</si>
  <si>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</si>
  <si>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</si>
  <si>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</si>
  <si>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</si>
  <si>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</si>
  <si>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</si>
  <si>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</si>
  <si>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</si>
  <si>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</si>
  <si>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</si>
  <si>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Venne</t>
  </si>
  <si>
    <t>P_App-Webstore</t>
  </si>
  <si>
    <t>CID 2B</t>
  </si>
  <si>
    <t>Documentation</t>
  </si>
  <si>
    <t>Max. 9</t>
  </si>
  <si>
    <t>STOP</t>
  </si>
  <si>
    <t>Lecture du CDC, mise en place du Repository Github</t>
  </si>
  <si>
    <t>Planification du projet</t>
  </si>
  <si>
    <t>Cahier des charges</t>
  </si>
  <si>
    <t>Base de Données</t>
  </si>
  <si>
    <t>Docker</t>
  </si>
  <si>
    <t>Code</t>
  </si>
  <si>
    <t xml:space="preserve">Mise en place du MCD/MLD et script de cration </t>
  </si>
  <si>
    <t>Présentation du projet  et lecture du CDC</t>
  </si>
  <si>
    <t>Mise en place du Github</t>
  </si>
  <si>
    <t>Planification des 2 semaines suivantes</t>
  </si>
  <si>
    <t>Html et CSS su site web</t>
  </si>
  <si>
    <t>mise en place du conteneur Docker + Réglage petit bug</t>
  </si>
  <si>
    <t>Début mise en place du Rapport</t>
  </si>
  <si>
    <t>Mise en place des conteneurs Docker</t>
  </si>
  <si>
    <t>Looping</t>
  </si>
  <si>
    <t>Création du MCD/MLD et du script de creation de Database</t>
  </si>
  <si>
    <t>Mise en place du rapport</t>
  </si>
  <si>
    <t>Discussion plénière</t>
  </si>
  <si>
    <t>Bamert Mathieu</t>
  </si>
  <si>
    <t>Virer tous le cache docker. Réinstaller un container docker avec ejs.</t>
  </si>
  <si>
    <t>https://stackoverflow.com/questions/18629327/adding-css-file-to-ejs    https://www.w3schools.com/TAGS/att_input_type_email.asp</t>
  </si>
  <si>
    <t>MBAMER/P_APP_183-Secured-WebShop_MathieuBamert</t>
  </si>
  <si>
    <t>Compléter le journal de travail</t>
  </si>
  <si>
    <t xml:space="preserve">Code du HTML et CSS de la page login. Création du'un formulaire pour se loguer. Création de la page de register. Pour pouvoir se créer un compte. On va rajouter 2 input, mail et la confirmation du mot de passe. J'ai essayer de changer le bottom du label mais j'ai pas réussi. J'ai du rajouter un route pour pouvoir avoir une page ejs supplémentaire.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</si>
</sst>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16" fillId="9" borderId="0" xfId="0" applyFont="1" applyFill="1"/>
    <xf numFmtId="0" fontId="9" fillId="4"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Planification"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7" zoomScaleNormal="100" zoomScaleSheetLayoutView="100" workbookViewId="0">
      <selection activeCell="C26" sqref="C26"/>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24</v>
      </c>
      <c r="D3" s="59"/>
      <c r="E3" s="59"/>
      <c r="F3" s="59"/>
      <c r="G3" s="60"/>
    </row>
    <row r="4" spans="1:7" ht="20.25" x14ac:dyDescent="0.25">
      <c r="A4" s="58"/>
      <c r="B4" s="63" t="s">
        <v>4</v>
      </c>
      <c r="C4" s="64" t="s">
        <v>47</v>
      </c>
      <c r="D4" s="59"/>
      <c r="E4" s="59"/>
      <c r="F4" s="59"/>
      <c r="G4" s="60"/>
    </row>
    <row r="5" spans="1:7" ht="20.25" x14ac:dyDescent="0.25">
      <c r="A5" s="58"/>
      <c r="B5" s="63" t="s">
        <v>1</v>
      </c>
      <c r="C5" s="64" t="s">
        <v>25</v>
      </c>
      <c r="D5" s="59"/>
      <c r="E5" s="59"/>
      <c r="F5" s="59"/>
      <c r="G5" s="60"/>
    </row>
    <row r="6" spans="1:7" ht="21" thickBot="1" x14ac:dyDescent="0.3">
      <c r="A6" s="58"/>
      <c r="B6" s="65" t="s">
        <v>2</v>
      </c>
      <c r="C6" s="66" t="s">
        <v>23</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v>45670</v>
      </c>
      <c r="D9" s="59"/>
      <c r="E9" s="59"/>
      <c r="F9" s="59"/>
      <c r="G9" s="60"/>
    </row>
    <row r="10" spans="1:7" ht="20.25" x14ac:dyDescent="0.25">
      <c r="A10" s="58"/>
      <c r="B10" s="68" t="s">
        <v>7</v>
      </c>
      <c r="C10" s="69">
        <v>45726</v>
      </c>
      <c r="D10" s="59"/>
      <c r="E10" s="59"/>
      <c r="F10" s="59"/>
      <c r="G10" s="60"/>
    </row>
    <row r="11" spans="1:7" ht="20.25" x14ac:dyDescent="0.25">
      <c r="A11" s="58"/>
      <c r="B11" s="68" t="s">
        <v>9</v>
      </c>
      <c r="C11" s="70">
        <v>8</v>
      </c>
      <c r="D11" s="59"/>
      <c r="E11" s="59"/>
      <c r="F11" s="59"/>
      <c r="G11" s="60"/>
    </row>
    <row r="12" spans="1:7" ht="20.25" x14ac:dyDescent="0.25">
      <c r="A12" s="58"/>
      <c r="B12" s="63" t="s">
        <v>10</v>
      </c>
      <c r="C12" s="71">
        <v>3</v>
      </c>
      <c r="D12" s="59"/>
      <c r="E12" s="59"/>
      <c r="F12" s="59"/>
      <c r="G12" s="60"/>
    </row>
    <row r="13" spans="1:7" ht="20.25" x14ac:dyDescent="0.25">
      <c r="A13" s="58"/>
      <c r="B13" s="63" t="s">
        <v>11</v>
      </c>
      <c r="C13" s="71">
        <v>3</v>
      </c>
      <c r="D13" s="59"/>
      <c r="E13" s="59"/>
      <c r="F13" s="59"/>
      <c r="G13" s="60"/>
    </row>
    <row r="14" spans="1:7" ht="20.25" thickBot="1" x14ac:dyDescent="0.3">
      <c r="A14" s="58"/>
      <c r="B14" s="72"/>
      <c r="C14" s="73"/>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93" t="s">
        <v>18</v>
      </c>
      <c r="C19" s="94"/>
      <c r="D19" s="59"/>
      <c r="E19" s="59"/>
      <c r="F19" s="59"/>
      <c r="G19" s="60"/>
    </row>
    <row r="20" spans="1:7" ht="20.25" x14ac:dyDescent="0.25">
      <c r="A20" s="78"/>
      <c r="B20" s="79" t="s">
        <v>19</v>
      </c>
      <c r="C20" s="80" t="s">
        <v>20</v>
      </c>
      <c r="D20" s="59"/>
      <c r="E20" s="59"/>
      <c r="F20" s="59"/>
      <c r="G20" s="60"/>
    </row>
    <row r="21" spans="1:7" ht="20.25" x14ac:dyDescent="0.25">
      <c r="A21" s="78"/>
      <c r="B21" s="79">
        <v>1</v>
      </c>
      <c r="C21" s="69" t="s">
        <v>26</v>
      </c>
      <c r="D21" s="59"/>
      <c r="E21" s="59"/>
      <c r="F21" s="59"/>
      <c r="G21" s="60"/>
    </row>
    <row r="22" spans="1:7" ht="20.25" x14ac:dyDescent="0.25">
      <c r="A22" s="78"/>
      <c r="B22" s="79">
        <v>2</v>
      </c>
      <c r="C22" s="70" t="s">
        <v>32</v>
      </c>
      <c r="D22" s="59"/>
      <c r="E22" s="59"/>
      <c r="F22" s="59"/>
      <c r="G22" s="60"/>
    </row>
    <row r="23" spans="1:7" ht="20.25" x14ac:dyDescent="0.25">
      <c r="A23" s="78"/>
      <c r="B23" s="81">
        <v>3</v>
      </c>
      <c r="C23" s="70" t="s">
        <v>33</v>
      </c>
      <c r="D23" s="59"/>
      <c r="E23" s="59"/>
      <c r="F23" s="59"/>
      <c r="G23" s="60"/>
    </row>
    <row r="24" spans="1:7" ht="20.25" x14ac:dyDescent="0.25">
      <c r="A24" s="78"/>
      <c r="B24" s="79">
        <v>4</v>
      </c>
      <c r="C24" s="70" t="s">
        <v>34</v>
      </c>
      <c r="D24" s="59"/>
      <c r="E24" s="59"/>
      <c r="F24" s="59"/>
      <c r="G24" s="60"/>
    </row>
    <row r="25" spans="1:7" ht="20.25" x14ac:dyDescent="0.25">
      <c r="A25" s="78"/>
      <c r="B25" s="79">
        <v>5</v>
      </c>
      <c r="C25" s="70" t="s">
        <v>46</v>
      </c>
      <c r="D25" s="59"/>
      <c r="E25" s="59"/>
      <c r="F25" s="59"/>
      <c r="G25" s="60"/>
    </row>
    <row r="26" spans="1:7" ht="20.25" x14ac:dyDescent="0.25">
      <c r="A26" s="78"/>
      <c r="B26" s="81">
        <v>6</v>
      </c>
      <c r="C26" s="70"/>
      <c r="D26" s="59"/>
      <c r="E26" s="59"/>
      <c r="F26" s="59"/>
      <c r="G26" s="60"/>
    </row>
    <row r="27" spans="1:7" ht="20.25" x14ac:dyDescent="0.25">
      <c r="A27" s="78"/>
      <c r="B27" s="79">
        <v>7</v>
      </c>
      <c r="C27" s="70"/>
      <c r="D27" s="59"/>
      <c r="E27" s="59"/>
      <c r="F27" s="59"/>
      <c r="G27" s="60"/>
    </row>
    <row r="28" spans="1:7" ht="20.25" x14ac:dyDescent="0.25">
      <c r="A28" s="78"/>
      <c r="B28" s="79">
        <v>8</v>
      </c>
      <c r="C28" s="71"/>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v>
      </c>
      <c r="C2" s="15" t="s">
        <v>17</v>
      </c>
    </row>
    <row r="3" spans="1:4" ht="19.5" customHeight="1" x14ac:dyDescent="0.25">
      <c r="A3" s="19"/>
      <c r="B3" s="95" t="s">
        <v>20</v>
      </c>
      <c r="C3" s="16">
        <v>0</v>
      </c>
    </row>
    <row r="4" spans="1:4" ht="19.5" customHeight="1" x14ac:dyDescent="0.25">
      <c r="A4" s="19"/>
      <c r="B4" s="96"/>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5"/>
    </row>
    <row r="2" spans="1:4" ht="27.75" thickBot="1" x14ac:dyDescent="0.3">
      <c r="A2" s="8" t="s">
        <v>3</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3</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43D7F-BD5B-4119-8EA7-AB3E3EC0F1A1}">
  <sheetPr codeName="Feuil5"/>
  <dimension ref="A1:H113"/>
  <sheetViews>
    <sheetView workbookViewId="0">
      <selection activeCell="B18" sqref="B1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5"/>
    </row>
    <row r="2" spans="1:4" ht="27.75" thickBot="1" x14ac:dyDescent="0.3">
      <c r="A2" s="8" t="s">
        <v>3</v>
      </c>
      <c r="B2" s="18" t="s">
        <v>14</v>
      </c>
      <c r="C2" s="8" t="s">
        <v>6</v>
      </c>
      <c r="D2" s="8" t="s">
        <v>12</v>
      </c>
    </row>
    <row r="3" spans="1:4" s="52" customFormat="1" x14ac:dyDescent="0.25">
      <c r="A3" s="89" t="s">
        <v>26</v>
      </c>
      <c r="B3" s="4">
        <v>3</v>
      </c>
      <c r="C3" s="90" t="s">
        <v>29</v>
      </c>
      <c r="D3" s="90" t="s">
        <v>31</v>
      </c>
    </row>
    <row r="4" spans="1:4" s="52" customFormat="1" x14ac:dyDescent="0.25">
      <c r="A4" s="91" t="s">
        <v>26</v>
      </c>
      <c r="B4" s="2">
        <v>1</v>
      </c>
      <c r="C4" s="92" t="s">
        <v>30</v>
      </c>
      <c r="D4" s="10"/>
    </row>
    <row r="5" spans="1:4" s="52" customFormat="1" x14ac:dyDescent="0.25">
      <c r="A5" s="1" t="s">
        <v>32</v>
      </c>
      <c r="B5" s="2">
        <v>1</v>
      </c>
      <c r="C5" s="92" t="s">
        <v>35</v>
      </c>
      <c r="D5" s="10"/>
    </row>
    <row r="6" spans="1:4" s="52" customFormat="1" x14ac:dyDescent="0.25">
      <c r="A6" s="1" t="s">
        <v>26</v>
      </c>
      <c r="B6" s="2">
        <v>1</v>
      </c>
      <c r="C6" s="92" t="s">
        <v>38</v>
      </c>
      <c r="D6" s="10"/>
    </row>
    <row r="7" spans="1:4" s="52" customFormat="1" x14ac:dyDescent="0.25">
      <c r="A7" s="1" t="s">
        <v>26</v>
      </c>
      <c r="B7" s="2">
        <v>1</v>
      </c>
      <c r="C7" s="92" t="s">
        <v>41</v>
      </c>
      <c r="D7" s="10"/>
    </row>
    <row r="8" spans="1:4" s="52" customFormat="1" x14ac:dyDescent="0.25">
      <c r="A8" s="1" t="s">
        <v>33</v>
      </c>
      <c r="B8" s="2">
        <v>2</v>
      </c>
      <c r="C8" s="92" t="s">
        <v>42</v>
      </c>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9</v>
      </c>
      <c r="C13" s="88" t="s">
        <v>27</v>
      </c>
      <c r="D13" s="13"/>
    </row>
    <row r="14" spans="1:4" ht="15" thickBot="1" x14ac:dyDescent="0.35">
      <c r="A14" s="14"/>
      <c r="B14" s="14"/>
      <c r="C14" s="14"/>
      <c r="D14" s="14"/>
    </row>
    <row r="15" spans="1:4" ht="18.75" thickBot="1" x14ac:dyDescent="0.3">
      <c r="A15" s="6" t="s">
        <v>13</v>
      </c>
      <c r="B15" s="7">
        <v>2</v>
      </c>
      <c r="C15" s="17"/>
      <c r="D15" s="85"/>
    </row>
    <row r="16" spans="1:4" ht="27.75" thickBot="1" x14ac:dyDescent="0.3">
      <c r="A16" s="8" t="s">
        <v>3</v>
      </c>
      <c r="B16" s="18" t="s">
        <v>14</v>
      </c>
      <c r="C16" s="8" t="s">
        <v>6</v>
      </c>
      <c r="D16" s="8" t="s">
        <v>12</v>
      </c>
    </row>
    <row r="17" spans="1:8" x14ac:dyDescent="0.25">
      <c r="A17" s="5" t="s">
        <v>34</v>
      </c>
      <c r="B17" s="4">
        <v>4</v>
      </c>
      <c r="C17" s="90" t="s">
        <v>39</v>
      </c>
      <c r="D17" s="9"/>
    </row>
    <row r="18" spans="1:8" x14ac:dyDescent="0.25">
      <c r="A18" s="1" t="s">
        <v>34</v>
      </c>
      <c r="B18" s="2"/>
      <c r="C18" s="10"/>
      <c r="D18" s="10"/>
    </row>
    <row r="19" spans="1:8" x14ac:dyDescent="0.25">
      <c r="A19" s="1"/>
      <c r="B19" s="2"/>
      <c r="C19" s="10"/>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21</v>
      </c>
      <c r="B27" s="12">
        <f>SUM(B17:B26)</f>
        <v>4</v>
      </c>
      <c r="C27" s="88" t="s">
        <v>27</v>
      </c>
      <c r="D27" s="13"/>
      <c r="F27" s="36"/>
      <c r="G27" s="37"/>
      <c r="H27" s="37"/>
    </row>
    <row r="28" spans="1:8" ht="15" thickBot="1" x14ac:dyDescent="0.35">
      <c r="A28" s="14"/>
      <c r="B28" s="14"/>
      <c r="C28" s="14"/>
      <c r="D28" s="14"/>
      <c r="F28" s="36"/>
      <c r="G28" s="37"/>
      <c r="H28" s="37"/>
    </row>
    <row r="29" spans="1:8" ht="18.75" thickBot="1" x14ac:dyDescent="0.3">
      <c r="A29" s="6" t="s">
        <v>13</v>
      </c>
      <c r="B29" s="7">
        <v>3</v>
      </c>
      <c r="C29" s="17"/>
      <c r="D29" s="85"/>
      <c r="F29" s="36"/>
      <c r="G29" s="37"/>
      <c r="H29" s="37"/>
    </row>
    <row r="30" spans="1:8" ht="27.75" thickBot="1" x14ac:dyDescent="0.3">
      <c r="A30" s="8" t="s">
        <v>3</v>
      </c>
      <c r="B30" s="18" t="s">
        <v>14</v>
      </c>
      <c r="C30" s="8" t="s">
        <v>6</v>
      </c>
      <c r="D30" s="8" t="s">
        <v>12</v>
      </c>
      <c r="F30" s="38"/>
      <c r="G30" s="39"/>
      <c r="H30" s="39"/>
    </row>
    <row r="31" spans="1:8" ht="14.25" x14ac:dyDescent="0.3">
      <c r="A31" s="5"/>
      <c r="B31" s="4"/>
      <c r="C31" s="9"/>
      <c r="D31" s="9"/>
      <c r="F31" s="40"/>
      <c r="G31" s="40"/>
      <c r="H31" s="40"/>
    </row>
    <row r="32" spans="1:8" x14ac:dyDescent="0.25">
      <c r="A32" s="1"/>
      <c r="B32" s="2"/>
      <c r="C32" s="10"/>
      <c r="D32" s="10"/>
    </row>
    <row r="33" spans="1:4" x14ac:dyDescent="0.25">
      <c r="A33" s="1"/>
      <c r="B33" s="2"/>
      <c r="C33" s="10"/>
      <c r="D33" s="10"/>
    </row>
    <row r="34" spans="1:4" x14ac:dyDescent="0.25">
      <c r="A34" s="1"/>
      <c r="B34" s="2"/>
      <c r="C34" s="10"/>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21</v>
      </c>
      <c r="B41" s="12">
        <f>SUM(B31:B40)</f>
        <v>0</v>
      </c>
      <c r="C41" s="88" t="s">
        <v>27</v>
      </c>
      <c r="D41" s="13"/>
    </row>
    <row r="42" spans="1:4" ht="15" thickBot="1" x14ac:dyDescent="0.35">
      <c r="A42" s="14"/>
      <c r="B42" s="14"/>
      <c r="C42" s="14"/>
      <c r="D42" s="14"/>
    </row>
    <row r="43" spans="1:4" ht="18.75" thickBot="1" x14ac:dyDescent="0.3">
      <c r="A43" s="6" t="s">
        <v>13</v>
      </c>
      <c r="B43" s="7">
        <v>4</v>
      </c>
      <c r="C43" s="17"/>
      <c r="D43" s="85"/>
    </row>
    <row r="44" spans="1:4" ht="27.75" thickBot="1" x14ac:dyDescent="0.3">
      <c r="A44" s="8" t="s">
        <v>3</v>
      </c>
      <c r="B44" s="18" t="s">
        <v>14</v>
      </c>
      <c r="C44" s="8" t="s">
        <v>6</v>
      </c>
      <c r="D44" s="8" t="s">
        <v>12</v>
      </c>
    </row>
    <row r="45" spans="1:4" x14ac:dyDescent="0.25">
      <c r="A45" s="5"/>
      <c r="B45" s="4"/>
      <c r="C45" s="9"/>
      <c r="D45" s="9"/>
    </row>
    <row r="46" spans="1:4" x14ac:dyDescent="0.25">
      <c r="A46" s="1"/>
      <c r="B46" s="2"/>
      <c r="C46" s="10"/>
      <c r="D46" s="10"/>
    </row>
    <row r="47" spans="1:4" x14ac:dyDescent="0.25">
      <c r="A47" s="1"/>
      <c r="B47" s="2"/>
      <c r="C47" s="10"/>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21</v>
      </c>
      <c r="B55" s="12">
        <f>SUM(B45:B54)</f>
        <v>0</v>
      </c>
      <c r="C55" s="88" t="s">
        <v>27</v>
      </c>
      <c r="D55" s="13"/>
    </row>
    <row r="56" spans="1:4" ht="15" thickBot="1" x14ac:dyDescent="0.35">
      <c r="A56" s="14"/>
      <c r="B56" s="14"/>
      <c r="C56" s="14"/>
      <c r="D56" s="14"/>
    </row>
    <row r="57" spans="1:4" ht="18.75" thickBot="1" x14ac:dyDescent="0.3">
      <c r="A57" s="6" t="s">
        <v>13</v>
      </c>
      <c r="B57" s="7">
        <v>5</v>
      </c>
      <c r="C57" s="17"/>
      <c r="D57" s="85"/>
    </row>
    <row r="58" spans="1:4" ht="27.75" thickBot="1" x14ac:dyDescent="0.3">
      <c r="A58" s="8" t="s">
        <v>3</v>
      </c>
      <c r="B58" s="18" t="s">
        <v>14</v>
      </c>
      <c r="C58" s="8" t="s">
        <v>6</v>
      </c>
      <c r="D58" s="8" t="s">
        <v>12</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21</v>
      </c>
      <c r="B69" s="12">
        <f>SUM(B59:B68)</f>
        <v>0</v>
      </c>
      <c r="C69" s="88" t="s">
        <v>27</v>
      </c>
      <c r="D69" s="13"/>
    </row>
    <row r="70" spans="1:4" ht="15" thickBot="1" x14ac:dyDescent="0.35">
      <c r="A70" s="14"/>
      <c r="B70" s="14"/>
      <c r="C70" s="14"/>
      <c r="D70" s="14"/>
    </row>
    <row r="71" spans="1:4" ht="18.75" thickBot="1" x14ac:dyDescent="0.3">
      <c r="A71" s="6" t="s">
        <v>13</v>
      </c>
      <c r="B71" s="7">
        <v>6</v>
      </c>
      <c r="C71" s="17"/>
      <c r="D71" s="85"/>
    </row>
    <row r="72" spans="1:4" ht="27.75" thickBot="1" x14ac:dyDescent="0.3">
      <c r="A72" s="8" t="s">
        <v>3</v>
      </c>
      <c r="B72" s="18" t="s">
        <v>14</v>
      </c>
      <c r="C72" s="8" t="s">
        <v>6</v>
      </c>
      <c r="D72" s="8" t="s">
        <v>12</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21</v>
      </c>
      <c r="B83" s="12">
        <f>SUM(B73:B82)</f>
        <v>0</v>
      </c>
      <c r="C83" s="88" t="s">
        <v>27</v>
      </c>
      <c r="D83" s="13"/>
    </row>
    <row r="84" spans="1:4" ht="15" thickBot="1" x14ac:dyDescent="0.35">
      <c r="A84" s="14"/>
      <c r="B84" s="14"/>
      <c r="C84" s="14"/>
      <c r="D84" s="14"/>
    </row>
    <row r="85" spans="1:4" ht="18.75" thickBot="1" x14ac:dyDescent="0.3">
      <c r="A85" s="6" t="s">
        <v>13</v>
      </c>
      <c r="B85" s="7">
        <v>7</v>
      </c>
      <c r="C85" s="17"/>
      <c r="D85" s="85"/>
    </row>
    <row r="86" spans="1:4" ht="27.75" thickBot="1" x14ac:dyDescent="0.3">
      <c r="A86" s="8" t="s">
        <v>3</v>
      </c>
      <c r="B86" s="18" t="s">
        <v>14</v>
      </c>
      <c r="C86" s="8" t="s">
        <v>6</v>
      </c>
      <c r="D86" s="8" t="s">
        <v>12</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21</v>
      </c>
      <c r="B97" s="12">
        <f>SUM(B87:B96)</f>
        <v>0</v>
      </c>
      <c r="C97" s="88" t="s">
        <v>27</v>
      </c>
      <c r="D97" s="13"/>
    </row>
    <row r="98" spans="1:4" ht="15" thickBot="1" x14ac:dyDescent="0.35">
      <c r="A98" s="14"/>
      <c r="B98" s="14"/>
      <c r="C98" s="14"/>
      <c r="D98" s="14"/>
    </row>
    <row r="99" spans="1:4" ht="18.75" thickBot="1" x14ac:dyDescent="0.3">
      <c r="A99" s="6" t="s">
        <v>13</v>
      </c>
      <c r="B99" s="7">
        <v>8</v>
      </c>
      <c r="C99" s="17"/>
      <c r="D99" s="85"/>
    </row>
    <row r="100" spans="1:4" ht="27.75" thickBot="1" x14ac:dyDescent="0.3">
      <c r="A100" s="8" t="s">
        <v>3</v>
      </c>
      <c r="B100" s="18" t="s">
        <v>14</v>
      </c>
      <c r="C100" s="8" t="s">
        <v>6</v>
      </c>
      <c r="D100" s="8" t="s">
        <v>12</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21</v>
      </c>
      <c r="B111" s="12">
        <f>SUM(B101:B110)</f>
        <v>0</v>
      </c>
      <c r="C111" s="88" t="s">
        <v>27</v>
      </c>
      <c r="D111" s="13"/>
    </row>
    <row r="112" spans="1:4" ht="14.25" x14ac:dyDescent="0.3">
      <c r="A112" s="14"/>
      <c r="B112" s="14"/>
      <c r="C112" s="14"/>
      <c r="D112" s="14"/>
    </row>
    <row r="113" spans="1:1" x14ac:dyDescent="0.25">
      <c r="A113" s="87" t="s">
        <v>28</v>
      </c>
    </row>
  </sheetData>
  <sheetProtection sheet="1" objects="1" scenarios="1" insertRows="0" selectLockedCells="1"/>
  <dataValidations count="4">
    <dataValidation type="list" allowBlank="1" showInputMessage="1" showErrorMessage="1" sqref="A3:A12 A17:A26 A31:A40 A45:A54 A59:A68 A73:A82 A87:A96 A101:A110" xr:uid="{14ABA881-A395-48F9-B96F-8E4EE2EEC66A}">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27E160F4-BB9D-4655-AFEF-090C6F2A031F}">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E083AEA5-C921-44F3-8A95-48A668C697E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2AC68C32-76C5-45D1-8436-39D3D76B779D}">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51518-5462-4D63-8E6F-99381422EC34}">
  <sheetPr codeName="Feuil9"/>
  <dimension ref="A1:H153"/>
  <sheetViews>
    <sheetView tabSelected="1" topLeftCell="A13" workbookViewId="0">
      <selection activeCell="C30" sqref="C30"/>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f>Donnees!$C$9</f>
        <v>45670</v>
      </c>
    </row>
    <row r="2" spans="1:4" ht="27.75" thickBot="1" x14ac:dyDescent="0.3">
      <c r="A2" s="45" t="s">
        <v>3</v>
      </c>
      <c r="B2" s="46" t="s">
        <v>14</v>
      </c>
      <c r="C2" s="45" t="s">
        <v>6</v>
      </c>
      <c r="D2" s="45" t="s">
        <v>12</v>
      </c>
    </row>
    <row r="3" spans="1:4" s="52" customFormat="1" x14ac:dyDescent="0.25">
      <c r="A3" s="89" t="s">
        <v>26</v>
      </c>
      <c r="B3" s="4">
        <v>2</v>
      </c>
      <c r="C3" s="90" t="s">
        <v>36</v>
      </c>
      <c r="D3" s="90"/>
    </row>
    <row r="4" spans="1:4" s="52" customFormat="1" ht="27" x14ac:dyDescent="0.25">
      <c r="A4" s="1" t="s">
        <v>26</v>
      </c>
      <c r="B4" s="2">
        <v>1</v>
      </c>
      <c r="C4" s="92" t="s">
        <v>37</v>
      </c>
      <c r="D4" s="92" t="s">
        <v>50</v>
      </c>
    </row>
    <row r="5" spans="1:4" s="52" customFormat="1" x14ac:dyDescent="0.25">
      <c r="A5" s="1" t="s">
        <v>26</v>
      </c>
      <c r="B5" s="2">
        <v>1</v>
      </c>
      <c r="C5" s="92" t="s">
        <v>38</v>
      </c>
      <c r="D5" s="10"/>
    </row>
    <row r="6" spans="1:4" s="52" customFormat="1" x14ac:dyDescent="0.25">
      <c r="A6" s="1" t="s">
        <v>33</v>
      </c>
      <c r="B6" s="2">
        <v>2</v>
      </c>
      <c r="C6" s="92" t="s">
        <v>40</v>
      </c>
      <c r="D6" s="10"/>
    </row>
    <row r="7" spans="1:4" s="52" customFormat="1" x14ac:dyDescent="0.25">
      <c r="A7" s="1" t="s">
        <v>32</v>
      </c>
      <c r="B7" s="2">
        <v>2</v>
      </c>
      <c r="C7" s="92" t="s">
        <v>44</v>
      </c>
      <c r="D7" s="92" t="s">
        <v>43</v>
      </c>
    </row>
    <row r="8" spans="1:4" s="52" customFormat="1" x14ac:dyDescent="0.25">
      <c r="A8" s="1" t="s">
        <v>26</v>
      </c>
      <c r="B8" s="2">
        <v>1</v>
      </c>
      <c r="C8" s="92" t="s">
        <v>45</v>
      </c>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9</v>
      </c>
      <c r="C18" s="86" t="s">
        <v>27</v>
      </c>
      <c r="D18" s="48"/>
    </row>
    <row r="19" spans="1:8" ht="15" thickBot="1" x14ac:dyDescent="0.35">
      <c r="A19" s="49"/>
      <c r="B19" s="49"/>
      <c r="C19" s="49"/>
      <c r="D19" s="49"/>
    </row>
    <row r="20" spans="1:8" ht="18.75" thickBot="1" x14ac:dyDescent="0.3">
      <c r="A20" s="42" t="s">
        <v>13</v>
      </c>
      <c r="B20" s="43">
        <v>2</v>
      </c>
      <c r="C20" s="44" t="s">
        <v>22</v>
      </c>
      <c r="D20" s="53">
        <f>$D$1+7</f>
        <v>45677</v>
      </c>
    </row>
    <row r="21" spans="1:8" ht="27.75" thickBot="1" x14ac:dyDescent="0.3">
      <c r="A21" s="45" t="s">
        <v>3</v>
      </c>
      <c r="B21" s="46" t="s">
        <v>14</v>
      </c>
      <c r="C21" s="45" t="s">
        <v>6</v>
      </c>
      <c r="D21" s="45" t="s">
        <v>12</v>
      </c>
    </row>
    <row r="22" spans="1:8" x14ac:dyDescent="0.25">
      <c r="A22" s="5" t="s">
        <v>33</v>
      </c>
      <c r="B22" s="4">
        <v>2</v>
      </c>
      <c r="C22" s="90" t="s">
        <v>48</v>
      </c>
      <c r="D22" s="9"/>
    </row>
    <row r="23" spans="1:8" ht="54" x14ac:dyDescent="0.25">
      <c r="A23" s="1" t="s">
        <v>34</v>
      </c>
      <c r="B23" s="2">
        <v>6</v>
      </c>
      <c r="C23" s="92" t="s">
        <v>52</v>
      </c>
      <c r="D23" s="92" t="s">
        <v>49</v>
      </c>
    </row>
    <row r="24" spans="1:8" x14ac:dyDescent="0.25">
      <c r="A24" s="1"/>
      <c r="B24" s="2">
        <v>1</v>
      </c>
      <c r="C24" s="92" t="s">
        <v>51</v>
      </c>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21</v>
      </c>
      <c r="B37" s="47">
        <f>SUM(B22:B36)</f>
        <v>9</v>
      </c>
      <c r="C37" s="86" t="s">
        <v>27</v>
      </c>
      <c r="D37" s="48"/>
    </row>
    <row r="38" spans="1:8" ht="15" thickBot="1" x14ac:dyDescent="0.35">
      <c r="A38" s="49"/>
      <c r="B38" s="49"/>
      <c r="C38" s="49"/>
      <c r="D38" s="49"/>
    </row>
    <row r="39" spans="1:8" ht="18.75" thickBot="1" x14ac:dyDescent="0.3">
      <c r="A39" s="42" t="s">
        <v>13</v>
      </c>
      <c r="B39" s="43">
        <v>3</v>
      </c>
      <c r="C39" s="44" t="s">
        <v>22</v>
      </c>
      <c r="D39" s="53">
        <f>$D$20+7</f>
        <v>45684</v>
      </c>
    </row>
    <row r="40" spans="1:8" ht="27.75" thickBot="1" x14ac:dyDescent="0.3">
      <c r="A40" s="45" t="s">
        <v>3</v>
      </c>
      <c r="B40" s="46" t="s">
        <v>14</v>
      </c>
      <c r="C40" s="45" t="s">
        <v>6</v>
      </c>
      <c r="D40" s="45" t="s">
        <v>12</v>
      </c>
    </row>
    <row r="41" spans="1:8" x14ac:dyDescent="0.25">
      <c r="A41" s="5"/>
      <c r="B41" s="4"/>
      <c r="C41" s="9"/>
      <c r="D41" s="9"/>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21</v>
      </c>
      <c r="B56" s="47">
        <f>SUM(B41:B55)</f>
        <v>0</v>
      </c>
      <c r="C56" s="86" t="s">
        <v>27</v>
      </c>
      <c r="D56" s="48"/>
    </row>
    <row r="57" spans="1:4" ht="15" thickBot="1" x14ac:dyDescent="0.35">
      <c r="A57" s="49"/>
      <c r="B57" s="49"/>
      <c r="C57" s="49"/>
      <c r="D57" s="49"/>
    </row>
    <row r="58" spans="1:4" ht="18.75" thickBot="1" x14ac:dyDescent="0.3">
      <c r="A58" s="42" t="s">
        <v>13</v>
      </c>
      <c r="B58" s="43">
        <v>4</v>
      </c>
      <c r="C58" s="44" t="s">
        <v>22</v>
      </c>
      <c r="D58" s="53">
        <f>$D$39+7</f>
        <v>45691</v>
      </c>
    </row>
    <row r="59" spans="1:4" ht="27.75" thickBot="1" x14ac:dyDescent="0.3">
      <c r="A59" s="45" t="s">
        <v>3</v>
      </c>
      <c r="B59" s="46" t="s">
        <v>14</v>
      </c>
      <c r="C59" s="45" t="s">
        <v>6</v>
      </c>
      <c r="D59" s="45" t="s">
        <v>12</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21</v>
      </c>
      <c r="B75" s="47">
        <f>SUM(B60:B74)</f>
        <v>0</v>
      </c>
      <c r="C75" s="86" t="s">
        <v>27</v>
      </c>
      <c r="D75" s="48"/>
    </row>
    <row r="76" spans="1:4" ht="15" thickBot="1" x14ac:dyDescent="0.35">
      <c r="A76" s="49"/>
      <c r="B76" s="49"/>
      <c r="C76" s="49"/>
      <c r="D76" s="49"/>
    </row>
    <row r="77" spans="1:4" ht="18.75" thickBot="1" x14ac:dyDescent="0.3">
      <c r="A77" s="42" t="s">
        <v>13</v>
      </c>
      <c r="B77" s="43">
        <v>5</v>
      </c>
      <c r="C77" s="44" t="s">
        <v>22</v>
      </c>
      <c r="D77" s="53">
        <f>$D$58+7</f>
        <v>45698</v>
      </c>
    </row>
    <row r="78" spans="1:4" ht="27.75" thickBot="1" x14ac:dyDescent="0.3">
      <c r="A78" s="45" t="s">
        <v>3</v>
      </c>
      <c r="B78" s="46" t="s">
        <v>14</v>
      </c>
      <c r="C78" s="45" t="s">
        <v>6</v>
      </c>
      <c r="D78" s="45" t="s">
        <v>12</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21</v>
      </c>
      <c r="B94" s="47">
        <f>SUM(B79:B93)</f>
        <v>0</v>
      </c>
      <c r="C94" s="86" t="s">
        <v>27</v>
      </c>
      <c r="D94" s="48"/>
    </row>
    <row r="95" spans="1:4" ht="15" thickBot="1" x14ac:dyDescent="0.35">
      <c r="A95" s="49"/>
      <c r="B95" s="49"/>
      <c r="C95" s="49"/>
      <c r="D95" s="49"/>
    </row>
    <row r="96" spans="1:4" ht="18.75" thickBot="1" x14ac:dyDescent="0.3">
      <c r="A96" s="42" t="s">
        <v>13</v>
      </c>
      <c r="B96" s="43">
        <v>6</v>
      </c>
      <c r="C96" s="44" t="s">
        <v>22</v>
      </c>
      <c r="D96" s="53">
        <f>$D$77+7</f>
        <v>45705</v>
      </c>
    </row>
    <row r="97" spans="1:4" ht="27.75" thickBot="1" x14ac:dyDescent="0.3">
      <c r="A97" s="45" t="s">
        <v>3</v>
      </c>
      <c r="B97" s="46" t="s">
        <v>14</v>
      </c>
      <c r="C97" s="45" t="s">
        <v>6</v>
      </c>
      <c r="D97" s="45" t="s">
        <v>12</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21</v>
      </c>
      <c r="B113" s="47">
        <f>SUM(B98:B112)</f>
        <v>0</v>
      </c>
      <c r="C113" s="86" t="s">
        <v>27</v>
      </c>
      <c r="D113" s="48"/>
    </row>
    <row r="114" spans="1:4" ht="15" thickBot="1" x14ac:dyDescent="0.35">
      <c r="A114" s="49"/>
      <c r="B114" s="49"/>
      <c r="C114" s="49"/>
      <c r="D114" s="49"/>
    </row>
    <row r="115" spans="1:4" ht="18.75" thickBot="1" x14ac:dyDescent="0.3">
      <c r="A115" s="42" t="s">
        <v>13</v>
      </c>
      <c r="B115" s="43">
        <v>7</v>
      </c>
      <c r="C115" s="44" t="s">
        <v>22</v>
      </c>
      <c r="D115" s="53">
        <f>$D$96+7</f>
        <v>45712</v>
      </c>
    </row>
    <row r="116" spans="1:4" ht="27.75" thickBot="1" x14ac:dyDescent="0.3">
      <c r="A116" s="45" t="s">
        <v>3</v>
      </c>
      <c r="B116" s="46" t="s">
        <v>14</v>
      </c>
      <c r="C116" s="45" t="s">
        <v>6</v>
      </c>
      <c r="D116" s="45" t="s">
        <v>12</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21</v>
      </c>
      <c r="B132" s="47">
        <f>SUM(B117:B131)</f>
        <v>0</v>
      </c>
      <c r="C132" s="86" t="s">
        <v>27</v>
      </c>
      <c r="D132" s="48"/>
    </row>
    <row r="133" spans="1:4" ht="15" thickBot="1" x14ac:dyDescent="0.35">
      <c r="A133" s="49"/>
      <c r="B133" s="49"/>
      <c r="C133" s="49"/>
      <c r="D133" s="49"/>
    </row>
    <row r="134" spans="1:4" ht="18.75" thickBot="1" x14ac:dyDescent="0.3">
      <c r="A134" s="42" t="s">
        <v>13</v>
      </c>
      <c r="B134" s="43">
        <v>8</v>
      </c>
      <c r="C134" s="44" t="s">
        <v>22</v>
      </c>
      <c r="D134" s="53">
        <f>$D$115+7</f>
        <v>45719</v>
      </c>
    </row>
    <row r="135" spans="1:4" ht="27.75" thickBot="1" x14ac:dyDescent="0.3">
      <c r="A135" s="45" t="s">
        <v>3</v>
      </c>
      <c r="B135" s="46" t="s">
        <v>14</v>
      </c>
      <c r="C135" s="45" t="s">
        <v>6</v>
      </c>
      <c r="D135" s="45" t="s">
        <v>12</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21</v>
      </c>
      <c r="B151" s="47">
        <f>SUM(B136:B150)</f>
        <v>0</v>
      </c>
      <c r="C151" s="86" t="s">
        <v>27</v>
      </c>
      <c r="D151" s="48"/>
    </row>
    <row r="152" spans="1:4" ht="14.25" x14ac:dyDescent="0.3">
      <c r="A152" s="49"/>
      <c r="B152" s="49"/>
      <c r="C152" s="49"/>
      <c r="D152" s="49"/>
    </row>
    <row r="153" spans="1:4" x14ac:dyDescent="0.25">
      <c r="A153" s="87" t="s">
        <v>28</v>
      </c>
    </row>
  </sheetData>
  <sheetProtection sheet="1" objects="1" scenarios="1"/>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8A7C822-69BF-4708-B713-C3E5829B9FEA}">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03440CC7-7CEC-4275-B22E-B819F59F586A}">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FB19425D-8078-4457-9028-2917D6E3E6C8}">
      <formula1>0</formula1>
      <formula2>NbPerWeek * NbQuartPer</formula2>
    </dataValidation>
    <dataValidation type="list" allowBlank="1" showInputMessage="1" showErrorMessage="1" sqref="A3:A17 A22:A36 A41:A55 A60:A74 A79:A93 A98:A112 A117:A131 A136:A150" xr:uid="{858D4615-559F-48F1-A9F2-72CF47260D77}">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4F20F00DBE2EE49BE9523363A2DF18B" ma:contentTypeVersion="3" ma:contentTypeDescription="Crée un document." ma:contentTypeScope="" ma:versionID="428a67bf6f341cc20b129d6ead09f800">
  <xsd:schema xmlns:xsd="http://www.w3.org/2001/XMLSchema" xmlns:xs="http://www.w3.org/2001/XMLSchema" xmlns:p="http://schemas.microsoft.com/office/2006/metadata/properties" xmlns:ns2="99ffe1f3-7857-457f-add0-5bdef636f38d" targetNamespace="http://schemas.microsoft.com/office/2006/metadata/properties" ma:root="true" ma:fieldsID="2463798d45d9f126bcf7449a921263da" ns2:_="">
    <xsd:import namespace="99ffe1f3-7857-457f-add0-5bdef636f38d"/>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ffe1f3-7857-457f-add0-5bdef636f38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2ED14A-152C-4DBE-9A8F-550CC865A4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E2DE16E-A9A4-4494-A12E-1545E36257A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9ffe1f3-7857-457f-add0-5bdef636f38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77A6C8-6DAD-4B68-9E62-F702DEC3ED5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achievementWeek</vt:lpstr>
      <vt:lpstr>Planning</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Charles-Henri Moser</dc:creator>
  <cp:lastModifiedBy>Mathieu Joshua Bamert</cp:lastModifiedBy>
  <cp:lastPrinted>2013-08-29T11:33:15Z</cp:lastPrinted>
  <dcterms:created xsi:type="dcterms:W3CDTF">1996-10-21T11:03:58Z</dcterms:created>
  <dcterms:modified xsi:type="dcterms:W3CDTF">2025-01-24T11:08:41Z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0x010100D4F20F00DBE2EE49BE9523363A2DF18B</vt:lpwstr>
  </property>
</Properties>
</file>